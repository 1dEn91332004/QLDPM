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M" sheetId="1" state="visible" r:id="rId1"/>
    <sheet xmlns:r="http://schemas.openxmlformats.org/officeDocument/2006/relationships" name="NPV" sheetId="2" state="visible" r:id="rId2"/>
    <sheet xmlns:r="http://schemas.openxmlformats.org/officeDocument/2006/relationships" name="ROI" sheetId="3" state="visible" r:id="rId3"/>
    <sheet xmlns:r="http://schemas.openxmlformats.org/officeDocument/2006/relationships" name="Payb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trọng số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'WSM'!G11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'WSM'!$A$12:$A$21</f>
            </numRef>
          </cat>
          <val>
            <numRef>
              <f>'WSM'!$G$12:$G$21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Chức năng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Lũy kế CF chiết khấu (Payback/NPV)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'NPV'!$A$5:$A$10</f>
            </numRef>
          </cat>
          <val>
            <numRef>
              <f>'NPV'!$G$5:$G$10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 (chiết khấu)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Lợi ích vs Chi phí (chiết khấu)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'ROI'!B7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'ROI'!$A$7:$A$12</f>
            </numRef>
          </cat>
          <val>
            <numRef>
              <f>'ROI'!$B$8:$B$12</f>
            </numRef>
          </val>
        </ser>
        <ser>
          <idx val="1"/>
          <order val="1"/>
          <tx>
            <strRef>
              <f>'ROI'!C7</f>
            </strRef>
          </tx>
          <spPr>
            <a:ln xmlns:a="http://schemas.openxmlformats.org/drawingml/2006/main">
              <a:prstDash val="solid"/>
            </a:ln>
          </spPr>
          <cat>
            <numRef>
              <f>'ROI'!$A$7:$A$12</f>
            </numRef>
          </cat>
          <val>
            <numRef>
              <f>'ROI'!$C$8:$C$12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 (chiết khấu)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Lũy kế CF (Undiscounted Payback)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'Payback'!$A$9:$A$14</f>
            </numRef>
          </cat>
          <val>
            <numRef>
              <f>'Payback'!$E$9:$E$14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Lũy kế CF chiết khấu (Discounted Payback)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'Payback'!$A$9:$A$14</f>
            </numRef>
          </cat>
          <val>
            <numRef>
              <f>'Payback'!$H$9:$H$14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VND (chiết khấu)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 trọng số (WSM) - Đề tài: Hệ thống đặt vé xe khách</t>
        </is>
      </c>
    </row>
    <row r="2">
      <c r="A2" t="inlineStr">
        <is>
          <t>Ngày tạo: 2025-10-27 09:39</t>
        </is>
      </c>
    </row>
    <row r="4">
      <c r="A4" t="inlineStr">
        <is>
          <t>Tiêu chí</t>
        </is>
      </c>
      <c r="B4" t="inlineStr">
        <is>
          <t>Trọng số</t>
        </is>
      </c>
    </row>
    <row r="5">
      <c r="A5" t="inlineStr">
        <is>
          <t>Giá trị kinh doanh</t>
        </is>
      </c>
      <c r="B5" t="n">
        <v>0.3</v>
      </c>
    </row>
    <row r="6">
      <c r="A6" t="inlineStr">
        <is>
          <t>Tính khả thi kỹ thuật</t>
        </is>
      </c>
      <c r="B6" t="n">
        <v>0.2</v>
      </c>
    </row>
    <row r="7">
      <c r="A7" t="inlineStr">
        <is>
          <t>Khẩn cấp/Ưu tiên</t>
        </is>
      </c>
      <c r="B7" t="n">
        <v>0.2</v>
      </c>
    </row>
    <row r="8">
      <c r="A8" t="inlineStr">
        <is>
          <t>Rủi ro</t>
        </is>
      </c>
      <c r="B8" t="n">
        <v>0.15</v>
      </c>
    </row>
    <row r="9">
      <c r="A9" t="inlineStr">
        <is>
          <t>Chi phí triển khai</t>
        </is>
      </c>
      <c r="B9" t="n">
        <v>0.15</v>
      </c>
    </row>
    <row r="10">
      <c r="A10" t="inlineStr">
        <is>
          <t>Tổng</t>
        </is>
      </c>
      <c r="B10">
        <f>SUM(B4:B8)</f>
        <v/>
      </c>
    </row>
    <row r="12">
      <c r="A12" t="inlineStr">
        <is>
          <t>Chức năng</t>
        </is>
      </c>
      <c r="B12" t="inlineStr">
        <is>
          <t>Giá trị kinh doanh</t>
        </is>
      </c>
      <c r="C12" t="inlineStr">
        <is>
          <t>Tính khả thi kỹ thuật</t>
        </is>
      </c>
      <c r="D12" t="inlineStr">
        <is>
          <t>Khẩn cấp/Ưu tiên</t>
        </is>
      </c>
      <c r="E12" t="inlineStr">
        <is>
          <t>Rủi ro</t>
        </is>
      </c>
      <c r="F12" t="inlineStr">
        <is>
          <t>Chi phí triển khai</t>
        </is>
      </c>
      <c r="G12" t="inlineStr">
        <is>
          <t>Điểm trọng số</t>
        </is>
      </c>
    </row>
    <row r="13">
      <c r="A13" t="inlineStr">
        <is>
          <t>Đặt vé (tạo/sửa/hủy)</t>
        </is>
      </c>
      <c r="B13" t="n">
        <v>5</v>
      </c>
      <c r="C13" t="n">
        <v>5</v>
      </c>
      <c r="D13" t="n">
        <v>4</v>
      </c>
      <c r="E13" t="n">
        <v>4</v>
      </c>
      <c r="F13" t="n">
        <v>4</v>
      </c>
      <c r="G13" t="n">
        <v>4.5</v>
      </c>
    </row>
    <row r="14">
      <c r="A14" t="inlineStr">
        <is>
          <t>Thống kê/Báo cáo</t>
        </is>
      </c>
      <c r="B14" t="n">
        <v>5</v>
      </c>
      <c r="C14" t="n">
        <v>2</v>
      </c>
      <c r="D14" t="n">
        <v>3</v>
      </c>
      <c r="E14" t="n">
        <v>5</v>
      </c>
      <c r="F14" t="n">
        <v>4</v>
      </c>
      <c r="G14" t="n">
        <v>3.85</v>
      </c>
    </row>
    <row r="15">
      <c r="A15" t="inlineStr">
        <is>
          <t>Cập nhật chuyến xe (thời gian thực)</t>
        </is>
      </c>
      <c r="B15" t="n">
        <v>4</v>
      </c>
      <c r="C15" t="n">
        <v>5</v>
      </c>
      <c r="D15" t="n">
        <v>5</v>
      </c>
      <c r="E15" t="n">
        <v>3</v>
      </c>
      <c r="F15" t="n">
        <v>1</v>
      </c>
      <c r="G15" t="n">
        <v>3.8</v>
      </c>
    </row>
    <row r="16">
      <c r="A16" t="inlineStr">
        <is>
          <t>Đăng nhập/Đăng xuất/Đổi mật khẩu &amp; Quản trị người dùng</t>
        </is>
      </c>
      <c r="B16" t="n">
        <v>3</v>
      </c>
      <c r="C16" t="n">
        <v>4</v>
      </c>
      <c r="D16" t="n">
        <v>5</v>
      </c>
      <c r="E16" t="n">
        <v>5</v>
      </c>
      <c r="F16" t="n">
        <v>2</v>
      </c>
      <c r="G16" t="n">
        <v>3.75</v>
      </c>
    </row>
    <row r="17">
      <c r="A17" t="inlineStr">
        <is>
          <t>Xem lịch sử hóa đơn</t>
        </is>
      </c>
      <c r="B17" t="n">
        <v>3</v>
      </c>
      <c r="C17" t="n">
        <v>4</v>
      </c>
      <c r="D17" t="n">
        <v>4</v>
      </c>
      <c r="E17" t="n">
        <v>5</v>
      </c>
      <c r="F17" t="n">
        <v>2</v>
      </c>
      <c r="G17" t="n">
        <v>3.55</v>
      </c>
    </row>
    <row r="18">
      <c r="A18" t="inlineStr">
        <is>
          <t>Quản lý thông tin cá nhân</t>
        </is>
      </c>
      <c r="B18" t="n">
        <v>4</v>
      </c>
      <c r="C18" t="n">
        <v>2</v>
      </c>
      <c r="D18" t="n">
        <v>5</v>
      </c>
      <c r="E18" t="n">
        <v>2</v>
      </c>
      <c r="F18" t="n">
        <v>3</v>
      </c>
      <c r="G18" t="n">
        <v>3.35</v>
      </c>
    </row>
    <row r="19">
      <c r="A19" t="inlineStr">
        <is>
          <t>Tìm kiếm chuyến xe, lịch trình, đơn giá, dịch vụ kèm</t>
        </is>
      </c>
      <c r="B19" t="n">
        <v>4</v>
      </c>
      <c r="C19" t="n">
        <v>2</v>
      </c>
      <c r="D19" t="n">
        <v>5</v>
      </c>
      <c r="E19" t="n">
        <v>2</v>
      </c>
      <c r="F19" t="n">
        <v>2</v>
      </c>
      <c r="G19" t="n">
        <v>3.2</v>
      </c>
    </row>
    <row r="20">
      <c r="A20" t="inlineStr">
        <is>
          <t>Quản lý xe</t>
        </is>
      </c>
      <c r="B20" t="n">
        <v>3</v>
      </c>
      <c r="C20" t="n">
        <v>5</v>
      </c>
      <c r="D20" t="n">
        <v>2</v>
      </c>
      <c r="E20" t="n">
        <v>5</v>
      </c>
      <c r="F20" t="n">
        <v>1</v>
      </c>
      <c r="G20" t="n">
        <v>3.2</v>
      </c>
    </row>
    <row r="21">
      <c r="A21" t="inlineStr">
        <is>
          <t>Quản lý tuyến xe</t>
        </is>
      </c>
      <c r="B21" t="n">
        <v>5</v>
      </c>
      <c r="C21" t="n">
        <v>2</v>
      </c>
      <c r="D21" t="n">
        <v>2</v>
      </c>
      <c r="E21" t="n">
        <v>4</v>
      </c>
      <c r="F21" t="n">
        <v>1</v>
      </c>
      <c r="G21" t="n">
        <v>3.05</v>
      </c>
    </row>
    <row r="22">
      <c r="A22" t="inlineStr">
        <is>
          <t>Gửi phản hồi &amp; đánh giá dịch vụ</t>
        </is>
      </c>
      <c r="B22" t="n">
        <v>5</v>
      </c>
      <c r="C22" t="n">
        <v>2</v>
      </c>
      <c r="D22" t="n">
        <v>2</v>
      </c>
      <c r="E22" t="n">
        <v>4</v>
      </c>
      <c r="F22" t="n">
        <v>1</v>
      </c>
      <c r="G22" t="n">
        <v>3.05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tích NPV</t>
        </is>
      </c>
    </row>
    <row r="2">
      <c r="A2" t="inlineStr">
        <is>
          <t>Tỷ lệ chiết khấu</t>
        </is>
      </c>
      <c r="B2" t="n">
        <v>0.12</v>
      </c>
    </row>
    <row r="4">
      <c r="A4" t="inlineStr">
        <is>
          <t>Năm (t)</t>
        </is>
      </c>
      <c r="B4" t="inlineStr">
        <is>
          <t>Chi phí</t>
        </is>
      </c>
      <c r="C4" t="inlineStr">
        <is>
          <t>Lợi ích</t>
        </is>
      </c>
      <c r="D4" t="inlineStr">
        <is>
          <t>Dòng tiền (CF)</t>
        </is>
      </c>
      <c r="E4" t="inlineStr">
        <is>
          <t>Hệ số chiết khấu</t>
        </is>
      </c>
      <c r="F4" t="inlineStr">
        <is>
          <t>CF chiết khấu</t>
        </is>
      </c>
      <c r="G4" t="inlineStr">
        <is>
          <t>Lũy kế CF chiết khấu</t>
        </is>
      </c>
    </row>
    <row r="5">
      <c r="A5" t="n">
        <v>0</v>
      </c>
      <c r="B5" t="n">
        <v>300000</v>
      </c>
      <c r="C5" t="n">
        <v>0</v>
      </c>
      <c r="D5" t="n">
        <v>-300000</v>
      </c>
      <c r="E5" t="n">
        <v>1</v>
      </c>
      <c r="F5" t="n">
        <v>-300000</v>
      </c>
      <c r="G5" t="n">
        <v>-300000</v>
      </c>
    </row>
    <row r="6">
      <c r="A6" t="n">
        <v>1</v>
      </c>
      <c r="B6" t="n">
        <v>120000</v>
      </c>
      <c r="C6" t="n">
        <v>180000</v>
      </c>
      <c r="D6" t="n">
        <v>60000</v>
      </c>
      <c r="E6" t="n">
        <v>0.8928571428571428</v>
      </c>
      <c r="F6" t="n">
        <v>53571.42857142857</v>
      </c>
      <c r="G6" t="n">
        <v>-246428.5714285714</v>
      </c>
    </row>
    <row r="7">
      <c r="A7" t="n">
        <v>2</v>
      </c>
      <c r="B7" t="n">
        <v>80000</v>
      </c>
      <c r="C7" t="n">
        <v>260000</v>
      </c>
      <c r="D7" t="n">
        <v>180000</v>
      </c>
      <c r="E7" t="n">
        <v>0.7971938775510203</v>
      </c>
      <c r="F7" t="n">
        <v>143494.8979591837</v>
      </c>
      <c r="G7" t="n">
        <v>-102933.6734693878</v>
      </c>
    </row>
    <row r="8">
      <c r="A8" t="n">
        <v>3</v>
      </c>
      <c r="B8" t="n">
        <v>60000</v>
      </c>
      <c r="C8" t="n">
        <v>320000</v>
      </c>
      <c r="D8" t="n">
        <v>260000</v>
      </c>
      <c r="E8" t="n">
        <v>0.7117802478134109</v>
      </c>
      <c r="F8" t="n">
        <v>185062.8644314868</v>
      </c>
      <c r="G8" t="n">
        <v>82129.19096209906</v>
      </c>
    </row>
    <row r="9">
      <c r="A9" t="n">
        <v>4</v>
      </c>
      <c r="B9" t="n">
        <v>60000</v>
      </c>
      <c r="C9" t="n">
        <v>340000</v>
      </c>
      <c r="D9" t="n">
        <v>280000</v>
      </c>
      <c r="E9" t="n">
        <v>0.6355180784048311</v>
      </c>
      <c r="F9" t="n">
        <v>177945.0619533527</v>
      </c>
      <c r="G9" t="n">
        <v>260074.2529154518</v>
      </c>
    </row>
    <row r="10">
      <c r="A10" t="n">
        <v>5</v>
      </c>
      <c r="B10" t="n">
        <v>60000</v>
      </c>
      <c r="C10" t="n">
        <v>360000</v>
      </c>
      <c r="D10" t="n">
        <v>300000</v>
      </c>
      <c r="E10" t="n">
        <v>0.5674268557185992</v>
      </c>
      <c r="F10" t="n">
        <v>170228.0567155798</v>
      </c>
      <c r="G10" t="n">
        <v>430302.3096310315</v>
      </c>
    </row>
    <row r="12">
      <c r="A12" t="inlineStr">
        <is>
          <t>NPV</t>
        </is>
      </c>
      <c r="B12" t="n">
        <v>430302.3096310315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tích ROI (Chiết khấu)</t>
        </is>
      </c>
    </row>
    <row r="3">
      <c r="A3" t="inlineStr">
        <is>
          <t>Tổng lợi ích chiết khấu</t>
        </is>
      </c>
      <c r="B3" t="n">
        <v>1016104.187894181</v>
      </c>
    </row>
    <row r="4">
      <c r="A4" t="inlineStr">
        <is>
          <t>Tổng chi phí chiết khấu</t>
        </is>
      </c>
      <c r="B4" t="n">
        <v>585801.8782631493</v>
      </c>
    </row>
    <row r="5">
      <c r="A5" t="inlineStr">
        <is>
          <t>ROI</t>
        </is>
      </c>
      <c r="B5" t="n">
        <v>0.7345526287946357</v>
      </c>
    </row>
    <row r="7">
      <c r="A7" t="inlineStr">
        <is>
          <t>Năm (t)</t>
        </is>
      </c>
      <c r="B7" t="inlineStr">
        <is>
          <t>Lợi ích (chiết khấu)</t>
        </is>
      </c>
      <c r="C7" t="inlineStr">
        <is>
          <t>Chi phí (chiết khấu)</t>
        </is>
      </c>
    </row>
    <row r="8">
      <c r="A8" t="n">
        <v>0</v>
      </c>
      <c r="B8" t="n">
        <v>0</v>
      </c>
      <c r="C8" t="n">
        <v>300000</v>
      </c>
    </row>
    <row r="9">
      <c r="A9" t="n">
        <v>1</v>
      </c>
      <c r="B9" t="n">
        <v>160714.2857142857</v>
      </c>
      <c r="C9" t="n">
        <v>107142.8571428571</v>
      </c>
    </row>
    <row r="10">
      <c r="A10" t="n">
        <v>2</v>
      </c>
      <c r="B10" t="n">
        <v>207270.4081632653</v>
      </c>
      <c r="C10" t="n">
        <v>63775.51020408163</v>
      </c>
    </row>
    <row r="11">
      <c r="A11" t="n">
        <v>3</v>
      </c>
      <c r="B11" t="n">
        <v>227769.6793002915</v>
      </c>
      <c r="C11" t="n">
        <v>42706.81486880465</v>
      </c>
    </row>
    <row r="12">
      <c r="A12" t="n">
        <v>4</v>
      </c>
      <c r="B12" t="n">
        <v>216076.1466576426</v>
      </c>
      <c r="C12" t="n">
        <v>38131.08470428987</v>
      </c>
    </row>
    <row r="13">
      <c r="A13" t="n">
        <v>5</v>
      </c>
      <c r="B13" t="n">
        <v>204273.6680586957</v>
      </c>
      <c r="C13" t="n">
        <v>34045.61134311595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tích Payback (Undiscounted &amp; Discounted)</t>
        </is>
      </c>
    </row>
    <row r="3">
      <c r="A3" t="inlineStr">
        <is>
          <t>Tham số</t>
        </is>
      </c>
      <c r="B3" t="inlineStr">
        <is>
          <t>Giá trị</t>
        </is>
      </c>
    </row>
    <row r="4">
      <c r="A4" t="inlineStr">
        <is>
          <t>Tỷ lệ chiết khấu</t>
        </is>
      </c>
      <c r="B4" t="n">
        <v>0.12</v>
      </c>
    </row>
    <row r="5">
      <c r="A5" t="inlineStr">
        <is>
          <t>NPV</t>
        </is>
      </c>
      <c r="B5" t="n">
        <v>430302.3096310315</v>
      </c>
    </row>
    <row r="6">
      <c r="A6" t="inlineStr">
        <is>
          <t>ROI (chiết khấu)</t>
        </is>
      </c>
      <c r="B6" t="n">
        <v>0.7345526287946357</v>
      </c>
    </row>
    <row r="8">
      <c r="A8" t="inlineStr">
        <is>
          <t>Bảng dòng tiền &amp; lũy kế</t>
        </is>
      </c>
    </row>
    <row r="9">
      <c r="A9" t="inlineStr">
        <is>
          <t>Năm (t)</t>
        </is>
      </c>
      <c r="B9" t="inlineStr">
        <is>
          <t>Chi phí</t>
        </is>
      </c>
      <c r="C9" t="inlineStr">
        <is>
          <t>Lợi ích</t>
        </is>
      </c>
      <c r="D9" t="inlineStr">
        <is>
          <t>CF</t>
        </is>
      </c>
      <c r="E9" t="inlineStr">
        <is>
          <t>Lũy kế CF</t>
        </is>
      </c>
      <c r="F9" t="inlineStr">
        <is>
          <t>Hệ số chiết khấu</t>
        </is>
      </c>
      <c r="G9" t="inlineStr">
        <is>
          <t>CF chiết khấu</t>
        </is>
      </c>
      <c r="H9" t="inlineStr">
        <is>
          <t>Lũy kế CF chiết khấu</t>
        </is>
      </c>
    </row>
    <row r="10">
      <c r="A10" t="n">
        <v>0</v>
      </c>
      <c r="B10" t="n">
        <v>300000</v>
      </c>
      <c r="C10" t="n">
        <v>0</v>
      </c>
      <c r="D10" t="n">
        <v>-300000</v>
      </c>
      <c r="E10" t="n">
        <v>-300000</v>
      </c>
      <c r="F10" t="n">
        <v>1</v>
      </c>
      <c r="G10" t="n">
        <v>-300000</v>
      </c>
      <c r="H10" t="n">
        <v>-300000</v>
      </c>
    </row>
    <row r="11">
      <c r="A11" t="n">
        <v>1</v>
      </c>
      <c r="B11" t="n">
        <v>120000</v>
      </c>
      <c r="C11" t="n">
        <v>180000</v>
      </c>
      <c r="D11" t="n">
        <v>60000</v>
      </c>
      <c r="E11" t="n">
        <v>-240000</v>
      </c>
      <c r="F11" t="n">
        <v>0.8928571428571428</v>
      </c>
      <c r="G11" t="n">
        <v>53571.42857142857</v>
      </c>
      <c r="H11" t="n">
        <v>-246428.5714285714</v>
      </c>
    </row>
    <row r="12">
      <c r="A12" t="n">
        <v>2</v>
      </c>
      <c r="B12" t="n">
        <v>80000</v>
      </c>
      <c r="C12" t="n">
        <v>260000</v>
      </c>
      <c r="D12" t="n">
        <v>180000</v>
      </c>
      <c r="E12" t="n">
        <v>-60000</v>
      </c>
      <c r="F12" t="n">
        <v>0.7971938775510203</v>
      </c>
      <c r="G12" t="n">
        <v>143494.8979591837</v>
      </c>
      <c r="H12" t="n">
        <v>-102933.6734693878</v>
      </c>
    </row>
    <row r="13">
      <c r="A13" t="n">
        <v>3</v>
      </c>
      <c r="B13" t="n">
        <v>60000</v>
      </c>
      <c r="C13" t="n">
        <v>320000</v>
      </c>
      <c r="D13" t="n">
        <v>260000</v>
      </c>
      <c r="E13" t="n">
        <v>200000</v>
      </c>
      <c r="F13" t="n">
        <v>0.7117802478134109</v>
      </c>
      <c r="G13" t="n">
        <v>185062.8644314868</v>
      </c>
      <c r="H13" t="n">
        <v>82129.19096209906</v>
      </c>
    </row>
    <row r="14">
      <c r="A14" t="n">
        <v>4</v>
      </c>
      <c r="B14" t="n">
        <v>60000</v>
      </c>
      <c r="C14" t="n">
        <v>340000</v>
      </c>
      <c r="D14" t="n">
        <v>280000</v>
      </c>
      <c r="E14" t="n">
        <v>480000</v>
      </c>
      <c r="F14" t="n">
        <v>0.6355180784048311</v>
      </c>
      <c r="G14" t="n">
        <v>177945.0619533527</v>
      </c>
      <c r="H14" t="n">
        <v>260074.2529154518</v>
      </c>
    </row>
    <row r="15">
      <c r="A15" t="n">
        <v>5</v>
      </c>
      <c r="B15" t="n">
        <v>60000</v>
      </c>
      <c r="C15" t="n">
        <v>360000</v>
      </c>
      <c r="D15" t="n">
        <v>300000</v>
      </c>
      <c r="E15" t="n">
        <v>780000</v>
      </c>
      <c r="F15" t="n">
        <v>0.5674268557185992</v>
      </c>
      <c r="G15" t="n">
        <v>170228.0567155798</v>
      </c>
      <c r="H15" t="n">
        <v>430302.3096310315</v>
      </c>
    </row>
    <row r="17">
      <c r="A17" t="inlineStr">
        <is>
          <t>Kết quả Payback</t>
        </is>
      </c>
    </row>
    <row r="18">
      <c r="A18" t="inlineStr">
        <is>
          <t>Undiscounted Payback (năm thập phân)</t>
        </is>
      </c>
      <c r="B18" t="n">
        <v>2.230769230769231</v>
      </c>
    </row>
    <row r="19">
      <c r="A19" t="inlineStr">
        <is>
          <t>Undiscounted Payback (năm + tháng)</t>
        </is>
      </c>
      <c r="B19" t="inlineStr">
        <is>
          <t>2 năm 3 tháng</t>
        </is>
      </c>
    </row>
    <row r="20">
      <c r="A20" t="inlineStr">
        <is>
          <t>Discounted Payback (năm thập phân)</t>
        </is>
      </c>
      <c r="B20" t="n">
        <v>2.556209230769231</v>
      </c>
    </row>
    <row r="21">
      <c r="A21" t="inlineStr">
        <is>
          <t>Discounted Payback (năm + tháng)</t>
        </is>
      </c>
      <c r="B21" t="inlineStr">
        <is>
          <t>2 năm 7 tháng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2025-10-27T09:39:43Z</dcterms:created>
  <dcterms:modified xmlns:dcterms="http://purl.org/dc/terms/" xmlns:xsi="http://www.w3.org/2001/XMLSchema-instance" xsi:type="dcterms:W3CDTF">2025-10-27T09:39:43Z</dcterms:modified>
</cp:coreProperties>
</file>